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Рабочий стол\диплом по аналитики\"/>
    </mc:Choice>
  </mc:AlternateContent>
  <xr:revisionPtr revIDLastSave="0" documentId="13_ncr:1_{FF39D44F-516D-4291-915B-81BD11CE2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4" l="1" a="1"/>
  <c r="A9" i="4" s="1"/>
  <c r="A8" i="4" a="1"/>
  <c r="A8" i="4" s="1"/>
  <c r="A7" i="4" a="1"/>
  <c r="A7" i="4" s="1"/>
  <c r="A6" i="4" a="1"/>
  <c r="A6" i="4" s="1"/>
  <c r="F23" i="2"/>
  <c r="C24" i="2" s="1"/>
  <c r="B24" i="2" s="1"/>
  <c r="D22" i="2"/>
  <c r="F22" i="2" s="1"/>
  <c r="C23" i="2" s="1"/>
  <c r="B23" i="2" s="1"/>
  <c r="A5" i="4"/>
  <c r="H380" i="1"/>
  <c r="D21" i="2"/>
  <c r="F21" i="2" s="1"/>
  <c r="C22" i="2" s="1"/>
  <c r="B22" i="2" s="1"/>
  <c r="D20" i="2"/>
  <c r="F20" i="2" s="1"/>
  <c r="C21" i="2" s="1"/>
  <c r="B21" i="2" s="1"/>
  <c r="D19" i="2" a="1"/>
  <c r="D19" i="2" s="1"/>
  <c r="F19" i="2" s="1"/>
  <c r="C20" i="2" s="1"/>
  <c r="B20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D4" i="2"/>
  <c r="F4" i="2" s="1"/>
  <c r="C5" i="2" s="1"/>
  <c r="B5" i="2" s="1"/>
  <c r="D3" i="2"/>
  <c r="F3" i="2" s="1"/>
  <c r="C4" i="2" s="1"/>
  <c r="B4" i="2" s="1"/>
  <c r="F24" i="2"/>
  <c r="C25" i="2" s="1"/>
  <c r="B25" i="2" s="1"/>
  <c r="H388" i="1" a="1"/>
  <c r="H388" i="1" s="1"/>
  <c r="D27" i="2"/>
  <c r="A3" i="4" a="1"/>
  <c r="A3" i="4" s="1"/>
  <c r="A2" i="4"/>
  <c r="A1" i="4"/>
  <c r="F26" i="2"/>
  <c r="C27" i="2" s="1"/>
  <c r="F25" i="2"/>
  <c r="C26" i="2" s="1"/>
  <c r="B26" i="2" s="1"/>
  <c r="F5" i="2"/>
  <c r="C6" i="2" s="1"/>
  <c r="B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<sst xmlns="http://schemas.openxmlformats.org/spreadsheetml/2006/main" count="636" uniqueCount="18">
  <si>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</si>
  <si>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</si>
  <si>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</si>
  <si>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</si>
  <si>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</si>
  <si>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</si>
  <si>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</si>
  <si>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</si>
  <si>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</si>
  <si>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</si>
  <si>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</si>
  <si>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</si>
  <si>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</si>
  <si>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</si>
  <si>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</si>
  <si>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</si>
  <si>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</si>
  <si>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на городской, 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</si>
</sst>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22" zoomScale="72" zoomScaleNormal="85" workbookViewId="0">
      <selection activeCell="D27" sqref="D27"/>
    </sheetView>
  </sheetViews>
  <sheetFormatPr defaultColWidth="9.140625" defaultRowHeight="15" x14ac:dyDescent="0.25"/>
  <cols>
    <col min="1" max="1" width="2.28515625" style="5" customWidth="1"/>
    <col min="2" max="2" width="12.42578125" style="9" customWidth="1"/>
    <col min="3" max="3" width="63.7109375" style="8" customWidth="1"/>
    <col min="4" max="4" width="21.140625" style="4" customWidth="1"/>
    <col min="5" max="5" width="1.7109375" style="7" customWidth="1"/>
    <col min="6" max="6" width="20.5703125" style="9" customWidth="1"/>
    <col min="7" max="7" width="16.42578125" style="8" customWidth="1"/>
    <col min="8" max="13" width="15.7109375" style="8" customWidth="1"/>
    <col min="14" max="14" width="16.5703125" style="8" customWidth="1"/>
    <col min="15" max="15" width="15.7109375" style="27" hidden="1" customWidth="1"/>
    <col min="16" max="16" width="8" style="28" hidden="1" customWidth="1"/>
    <col min="17" max="32" width="15.7109375" style="7" customWidth="1"/>
    <col min="33" max="33" width="15.7109375" style="10" customWidth="1"/>
    <col min="34" max="16384" width="9.140625" style="10"/>
  </cols>
  <sheetData>
    <row r="2" spans="1:16" x14ac:dyDescent="0.25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25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25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25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COUNTA('База данных'!A2:A624)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25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данных'!E2:E624)/60,1)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25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данных'!C2:C624,'База данных'!C600,'База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25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данных'!C:C,'База данных'!C14,'База данных'!E:E 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25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данных'!B:B,2)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25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данных'!D:D) / (SUM('База данных'!E:E) / 60), 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25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f>ROUND(SUM('База данных'!E:E) / COUNTA('База данных'!A:A), 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25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данных'!E:E, 'База данных'!C:C, "На городской", 'База данных'!B:B, 5)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25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данных'!C:C, "На межнар", 'База данных'!B:B, 1)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25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данных'!C:C, "Внутри сети", 'База данных'!E:E) / SUM('База данных'!E:E), 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25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данных'!B:B, 1, 'База данных'!D:D) / SUM('База данных'!D:D), 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25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COUNTA(_xlfn.UNIQUE('База данных'!A2:A624))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25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COUNTA(_xlfn.UNIQUE(_xlfn._xlws.FILTER('База данных'!A:A, 'База данных'!C:C="Внутри сети")))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25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COUNTA(_xlfn.UNIQUE(_xlfn._xlws.FILTER('База данных'!A:A, 'База данных'!B:B=6)))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25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ROUND((COUNTA(_xlfn.UNIQUE(_xlfn._xlws.FILTER('База данных'!A2:A624, 'База данных'!B2:B624=2))) / COUNTA(_xlfn.UNIQUE('База данных'!A2:A624))), 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25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>
        <f>ROUND(SUM('База данных'!D2:D624) / COUNTA(_xlfn.UNIQUE('База данных'!A2:A624)), 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25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>
        <f>ROUND((SUM('База данных'!E2:E624) / 60) / COUNTA(_xlfn.UNIQUE('База данных'!A2:A624)), 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25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>
        <f>SUMIF('База данных'!B:B, VLOOKUP(77010000055, 'База данных'!A:B, 2, 0), 'База данных'!E:E)</f>
        <v>2705</v>
      </c>
      <c r="F22" s="11" t="str">
        <f t="shared" si="0"/>
        <v>Правильный ответ</v>
      </c>
      <c r="O22" s="5">
        <v>2705</v>
      </c>
      <c r="P22" s="31"/>
    </row>
    <row r="23" spans="1:16" ht="46.5" customHeight="1" x14ac:dyDescent="0.25">
      <c r="A23" s="5">
        <v>21</v>
      </c>
      <c r="B23" s="11">
        <f t="shared" si="1"/>
        <v>21</v>
      </c>
      <c r="C23" s="12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2">
        <v>77010000109</v>
      </c>
      <c r="F23" s="11" t="str">
        <f t="shared" si="0"/>
        <v>Правильный ответ</v>
      </c>
      <c r="O23" s="5">
        <v>77010000109</v>
      </c>
      <c r="P23" s="31"/>
    </row>
    <row r="24" spans="1:16" ht="46.5" customHeight="1" x14ac:dyDescent="0.25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2">
        <v>77010000211</v>
      </c>
      <c r="F24" s="11" t="str">
        <f t="shared" si="0"/>
        <v>Правильный ответ</v>
      </c>
      <c r="O24" s="5">
        <v>77010000211</v>
      </c>
      <c r="P24" s="31"/>
    </row>
    <row r="25" spans="1:16" ht="48.75" customHeight="1" x14ac:dyDescent="0.25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>
        <v>77010000133</v>
      </c>
      <c r="F25" s="11" t="str">
        <f t="shared" si="0"/>
        <v>Правильный ответ</v>
      </c>
      <c r="O25" s="5">
        <v>77010000133</v>
      </c>
      <c r="P25" s="31"/>
    </row>
    <row r="26" spans="1:16" ht="55.5" customHeight="1" x14ac:dyDescent="0.25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">
        <v>17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 x14ac:dyDescent="0.25">
      <c r="C27" s="13" t="str">
        <f>IF(F26="Правильный ответ","Тест пройден. Поздравляем!","")</f>
        <v>Тест пройден. Поздравляем!</v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topLeftCell="B271" zoomScale="110" zoomScaleNormal="85" workbookViewId="0">
      <selection activeCell="C271" sqref="C271"/>
    </sheetView>
  </sheetViews>
  <sheetFormatPr defaultRowHeight="15" x14ac:dyDescent="0.25"/>
  <cols>
    <col min="1" max="1" width="20.5703125" style="26" customWidth="1"/>
    <col min="2" max="2" width="16.7109375" style="26" customWidth="1"/>
    <col min="3" max="3" width="32.5703125" style="26" customWidth="1"/>
    <col min="4" max="4" width="18.28515625" style="26" customWidth="1"/>
    <col min="5" max="5" width="24" style="35" customWidth="1"/>
  </cols>
  <sheetData>
    <row r="1" spans="1:5" s="1" customFormat="1" ht="30" x14ac:dyDescent="0.25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5" x14ac:dyDescent="0.25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5" x14ac:dyDescent="0.25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5" x14ac:dyDescent="0.25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5" x14ac:dyDescent="0.25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5" x14ac:dyDescent="0.25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5" x14ac:dyDescent="0.25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5" x14ac:dyDescent="0.25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5" x14ac:dyDescent="0.25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5" x14ac:dyDescent="0.25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5" x14ac:dyDescent="0.25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5" x14ac:dyDescent="0.25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5" x14ac:dyDescent="0.25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5" x14ac:dyDescent="0.25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</row>
    <row r="15" spans="1:5" x14ac:dyDescent="0.25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5" x14ac:dyDescent="0.25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25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25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25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25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25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25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25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25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25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25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25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25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25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25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25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25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25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25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25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25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25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25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25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25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25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25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25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25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25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25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25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25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25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25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25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25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25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25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25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25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25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25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25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25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25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25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25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25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25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25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25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25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25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25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25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25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25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25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25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25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25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25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25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25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25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25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25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25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25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25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25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25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25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25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25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25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25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25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25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25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25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25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25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25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25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25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25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25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25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25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25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25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25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25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25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25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25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25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25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25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25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25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25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25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25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25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25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25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25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25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25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25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25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25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25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25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25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25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25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25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25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25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25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25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25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25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25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25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25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25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25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25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25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25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25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25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25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25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25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25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25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25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25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25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25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25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25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25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25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25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25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25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25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25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25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25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25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25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25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25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25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25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25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25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25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25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25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25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25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25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25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25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25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25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25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25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25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25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25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25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25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25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25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25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25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25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25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25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25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25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25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25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25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25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25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25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25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25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25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25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25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25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25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25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25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25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25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25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25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25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25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25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25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25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25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25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25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25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25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25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25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25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25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25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25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25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25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25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25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25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25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25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25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25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25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25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25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25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25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25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25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25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25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25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25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25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25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25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25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25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25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25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25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25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25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25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25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25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25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25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25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25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25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25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25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25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25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25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25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25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25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25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25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25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25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25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25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25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25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25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25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25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25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25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25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25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25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25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25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25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25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25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25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25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25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25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25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25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25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25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25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25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25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25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25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25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25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25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25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25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25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25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25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25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25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25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25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25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25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25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25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25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25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25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25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25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25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25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25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25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25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25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25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25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25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25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25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25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25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25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25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25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25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25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25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25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25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25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25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25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25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25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25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25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25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25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25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25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25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25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25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25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25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25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</row>
    <row r="381" spans="1:8" x14ac:dyDescent="0.25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25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25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25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25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25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25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25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25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25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25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25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25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25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25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25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25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25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25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25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25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25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25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25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25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25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25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25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25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25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25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25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25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25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25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25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25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25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25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25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25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25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25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25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25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25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25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25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25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25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25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25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25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25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25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25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25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25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25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25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25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25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25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25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25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25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25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25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25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25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25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25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25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25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25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25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25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25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25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25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25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25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25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25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25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25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25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25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25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25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25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25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25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25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25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25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25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25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25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25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25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25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25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25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25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25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25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25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25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25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25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25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25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25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25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25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25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25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25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25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25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25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25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25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25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25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25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25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25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25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25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25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25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25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25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25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25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25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25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25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25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25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25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25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25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25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25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25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25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25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25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25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25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25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25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25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25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25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25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25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25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25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25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25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25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25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25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25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25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25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25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25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25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25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25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25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25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25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25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25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25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25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25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25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25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25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25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25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25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25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25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25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25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25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25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25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25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25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25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25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25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25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25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25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25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25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25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25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25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25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25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25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25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25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25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25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25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25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25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25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25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25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25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25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25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25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25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25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25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25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25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25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25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25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25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25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25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25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25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25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25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25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25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25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10"/>
  <sheetViews>
    <sheetView workbookViewId="0">
      <selection activeCell="A9" sqref="A9"/>
    </sheetView>
  </sheetViews>
  <sheetFormatPr defaultRowHeight="15" x14ac:dyDescent="0.25"/>
  <cols>
    <col min="1" max="1" width="44.28515625" customWidth="1"/>
  </cols>
  <sheetData>
    <row r="1" spans="1:1" x14ac:dyDescent="0.25">
      <c r="A1">
        <f>VLOOKUP(77010000055,'База данных'!A:B,2,FALSE)</f>
        <v>1</v>
      </c>
    </row>
    <row r="2" spans="1:1" x14ac:dyDescent="0.25">
      <c r="A2">
        <f>SUMIF('База данных'!B:B,"1",'База данных'!E:E)</f>
        <v>2705</v>
      </c>
    </row>
    <row r="3" spans="1:1" x14ac:dyDescent="0.25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  <row r="5" spans="1:1" x14ac:dyDescent="0.25">
      <c r="A5">
        <f>SUMIF('База данных'!B2:B624, VLOOKUP(77010000055, 'База данных'!A2:E624, 2, FALSE), 'База данных'!E2:E624)</f>
        <v>2705</v>
      </c>
    </row>
    <row r="6" spans="1:1" x14ac:dyDescent="0.25">
      <c r="A6" cm="1">
        <f t="array" ref="A6">INDEX(_xlfn.UNIQUE('База данных'!A2:A624),MATCH(MAX(SUMIF('База данных'!A2:A624,_xlfn.UNIQUE('База данных'!A2:A624),'База данных'!D2:D624)),SUMIF('База данных'!A2:A624,_xlfn.UNIQUE('База данных'!A2:A624),'База данных'!D2:D624),0))</f>
        <v>77010000109</v>
      </c>
    </row>
    <row r="7" spans="1:1" x14ac:dyDescent="0.25">
      <c r="A7" cm="1">
        <f t="array" ref="A7">INDEX(_xlfn.UNIQUE(_xlfn._xlws.FILTER('База данных'!A2:A624, 'База данных'!B2:B624=5)), MATCH(MAX(SUMIFS('База данных'!E2:E624, 'База данных'!A2:A624, _xlfn.UNIQUE(_xlfn._xlws.FILTER('База данных'!A2:A624, 'База данных'!B2:B624=5)), 'База данных'!B2:B624, 5)), SUMIFS('База данных'!E2:E624, 'База данных'!A2:A624, _xlfn.UNIQUE(_xlfn._xlws.FILTER('База данных'!A2:A624, 'База данных'!B2:B624=5)), 'База данных'!B2:B624, 5), 0))</f>
        <v>77010000211</v>
      </c>
    </row>
    <row r="8" spans="1:1" x14ac:dyDescent="0.25">
      <c r="A8" cm="1">
        <f t="array" ref="A8">INDEX(_xlfn.SORTBY(_xlfn.UNIQUE('База данных'!A2:A624), SUMIF('База данных'!A2:A624, _xlfn.UNIQUE('База данных'!A2:A624), 'База данных'!D2:D624), -1), 7)</f>
        <v>77010000133</v>
      </c>
    </row>
    <row r="9" spans="1:1" x14ac:dyDescent="0.25">
      <c r="A9" t="str" cm="1">
        <f t="array" ref="A9:A10">_xlfn._xlws.FILTER(_xlfn.UNIQUE('База данных'!C2:C624), COUNTIFS('База данных'!B2:B624, 6, 'База данных'!C2:C624, _xlfn.UNIQUE('База данных'!C2:C624))=0)</f>
        <v>На городской</v>
      </c>
    </row>
    <row r="10" spans="1:1" x14ac:dyDescent="0.25">
      <c r="A10" t="str">
        <v>Другое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Niyaz Seit</cp:lastModifiedBy>
  <dcterms:created xsi:type="dcterms:W3CDTF">2010-08-09T12:20:19Z</dcterms:created>
  <dcterms:modified xsi:type="dcterms:W3CDTF">2026-10-01T18:47:19Z</dcterms:modified>
</cp:coreProperties>
</file>